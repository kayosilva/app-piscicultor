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cadores" sheetId="1" r:id="rId4"/>
    <sheet state="visible" name="Tanques" sheetId="2" r:id="rId5"/>
    <sheet state="visible" name="Peixes" sheetId="3" r:id="rId6"/>
    <sheet state="visible" name="Povoamento" sheetId="4" r:id="rId7"/>
    <sheet state="visible" name="Biometria" sheetId="5" r:id="rId8"/>
    <sheet state="visible" name="Tab_Racao" sheetId="6" r:id="rId9"/>
    <sheet state="visible" name="Tab_Cresci" sheetId="7" r:id="rId10"/>
    <sheet state="visible" name="Despesca" sheetId="8" r:id="rId11"/>
    <sheet state="visible" name="Paramentros" sheetId="9" r:id="rId12"/>
    <sheet state="visible" name="Marcas" sheetId="10" r:id="rId13"/>
    <sheet state="visible" name="Pessoas" sheetId="11" r:id="rId14"/>
    <sheet state="visible" name="Arracoamento" sheetId="12" r:id="rId15"/>
    <sheet state="visible" name="Compras" sheetId="13" r:id="rId16"/>
    <sheet state="visible" name="Med" sheetId="14" r:id="rId17"/>
    <sheet state="visible" name="Medicao" sheetId="15" r:id="rId18"/>
    <sheet state="visible" name="Equipamentos" sheetId="16" r:id="rId19"/>
  </sheets>
  <definedNames/>
  <calcPr/>
</workbook>
</file>

<file path=xl/sharedStrings.xml><?xml version="1.0" encoding="utf-8"?>
<sst xmlns="http://schemas.openxmlformats.org/spreadsheetml/2006/main" count="220" uniqueCount="137">
  <si>
    <t>id</t>
  </si>
  <si>
    <t>objeto</t>
  </si>
  <si>
    <t>Tanque</t>
  </si>
  <si>
    <t>Peixe</t>
  </si>
  <si>
    <t>Parametros</t>
  </si>
  <si>
    <t>m2</t>
  </si>
  <si>
    <t>m3</t>
  </si>
  <si>
    <t>altura</t>
  </si>
  <si>
    <t>tipo</t>
  </si>
  <si>
    <t>material</t>
  </si>
  <si>
    <t>Suspenso</t>
  </si>
  <si>
    <t>Geomembrana</t>
  </si>
  <si>
    <t>Tilapia</t>
  </si>
  <si>
    <t>Lambari</t>
  </si>
  <si>
    <t>Pintado</t>
  </si>
  <si>
    <t>tanque</t>
  </si>
  <si>
    <t>data</t>
  </si>
  <si>
    <t>peixe</t>
  </si>
  <si>
    <t>peso(g)</t>
  </si>
  <si>
    <t>quant</t>
  </si>
  <si>
    <t>marca</t>
  </si>
  <si>
    <t>vacina</t>
  </si>
  <si>
    <t>Genérico</t>
  </si>
  <si>
    <t>Não</t>
  </si>
  <si>
    <t>idade</t>
  </si>
  <si>
    <t>amostra</t>
  </si>
  <si>
    <t>media(g)</t>
  </si>
  <si>
    <t>esperado(g)</t>
  </si>
  <si>
    <t>nota</t>
  </si>
  <si>
    <t>fato</t>
  </si>
  <si>
    <t>observaçao</t>
  </si>
  <si>
    <t>Bom</t>
  </si>
  <si>
    <t>Rotina</t>
  </si>
  <si>
    <t>Excelente</t>
  </si>
  <si>
    <t>Biometria</t>
  </si>
  <si>
    <t>Ruim</t>
  </si>
  <si>
    <t>Outro</t>
  </si>
  <si>
    <t>essa planilha tera as quantidade de raçao a ser fornecidas aos peixes des 1g ate 1kg. dados disponiveis na internet em pdf.</t>
  </si>
  <si>
    <t>esta tabela tera a escala de desenvolvimento, em dias e peso, das tilapias 1g ate 1000g. esses dados estao disponiveis na internet em pdf</t>
  </si>
  <si>
    <t>Id</t>
  </si>
  <si>
    <t>peso(kg)</t>
  </si>
  <si>
    <t>media(kg)</t>
  </si>
  <si>
    <t>cliente</t>
  </si>
  <si>
    <t>Paramento</t>
  </si>
  <si>
    <t>Obs</t>
  </si>
  <si>
    <t>Valor</t>
  </si>
  <si>
    <t>PH</t>
  </si>
  <si>
    <t>Potencial Hidrogenionico</t>
  </si>
  <si>
    <t>KH</t>
  </si>
  <si>
    <t>Alcalinidade</t>
  </si>
  <si>
    <t>GH</t>
  </si>
  <si>
    <t>Dureza</t>
  </si>
  <si>
    <t>NH3</t>
  </si>
  <si>
    <t>Amonia</t>
  </si>
  <si>
    <t>NO2</t>
  </si>
  <si>
    <t>Nitrito</t>
  </si>
  <si>
    <t>NO3</t>
  </si>
  <si>
    <t>Nitrato</t>
  </si>
  <si>
    <t>OD</t>
  </si>
  <si>
    <t>Oxigenio Dissolvido</t>
  </si>
  <si>
    <t>Turbi</t>
  </si>
  <si>
    <t>Transparencia da agua</t>
  </si>
  <si>
    <t>Soli</t>
  </si>
  <si>
    <t>Quantidade de sólidos na agua</t>
  </si>
  <si>
    <t>T_Agua</t>
  </si>
  <si>
    <t>Temperatura do ambiente</t>
  </si>
  <si>
    <t>internet</t>
  </si>
  <si>
    <t>T_Ambi</t>
  </si>
  <si>
    <t>Temperatura da agua</t>
  </si>
  <si>
    <t>Umid</t>
  </si>
  <si>
    <t>Umidade do ar</t>
  </si>
  <si>
    <t>Vento</t>
  </si>
  <si>
    <t>Velocidade do vento</t>
  </si>
  <si>
    <t>Press</t>
  </si>
  <si>
    <t>Pressão Atmosferica</t>
  </si>
  <si>
    <t>Lati</t>
  </si>
  <si>
    <t>Latitude do local</t>
  </si>
  <si>
    <t>-15.74</t>
  </si>
  <si>
    <t>Esta</t>
  </si>
  <si>
    <t>Estação do ano</t>
  </si>
  <si>
    <t>Chuva</t>
  </si>
  <si>
    <t>Quantidade de chuva em mm no dia</t>
  </si>
  <si>
    <t>Marca</t>
  </si>
  <si>
    <t>TilaMax</t>
  </si>
  <si>
    <t>Jkw</t>
  </si>
  <si>
    <t>Acqua</t>
  </si>
  <si>
    <t>Guabi</t>
  </si>
  <si>
    <t>Nome</t>
  </si>
  <si>
    <t>Tipo</t>
  </si>
  <si>
    <t>Celular</t>
  </si>
  <si>
    <t>CpjCnpj</t>
  </si>
  <si>
    <t>Jose Santos</t>
  </si>
  <si>
    <t>Fornecedor</t>
  </si>
  <si>
    <t>Joao Pedro</t>
  </si>
  <si>
    <t>Clente</t>
  </si>
  <si>
    <t>Data</t>
  </si>
  <si>
    <t>Vezes</t>
  </si>
  <si>
    <t>Quant(kg)</t>
  </si>
  <si>
    <t>Total</t>
  </si>
  <si>
    <t>Consumo</t>
  </si>
  <si>
    <t>Estoque</t>
  </si>
  <si>
    <t>Alerta</t>
  </si>
  <si>
    <t>Verde</t>
  </si>
  <si>
    <t>Amarelo</t>
  </si>
  <si>
    <t>Vermelho</t>
  </si>
  <si>
    <t>Medida</t>
  </si>
  <si>
    <t>Ref</t>
  </si>
  <si>
    <t>PB</t>
  </si>
  <si>
    <t>Peso</t>
  </si>
  <si>
    <t>Quant</t>
  </si>
  <si>
    <t>Saldo</t>
  </si>
  <si>
    <t>Ração</t>
  </si>
  <si>
    <t>mm</t>
  </si>
  <si>
    <t>saco</t>
  </si>
  <si>
    <t>BioRemediador</t>
  </si>
  <si>
    <t>grama</t>
  </si>
  <si>
    <t>Probiotico</t>
  </si>
  <si>
    <t>Bicarbonato</t>
  </si>
  <si>
    <t>Hora</t>
  </si>
  <si>
    <t>Latitude</t>
  </si>
  <si>
    <t>Umidade</t>
  </si>
  <si>
    <t>Pressao</t>
  </si>
  <si>
    <t>Estação</t>
  </si>
  <si>
    <t>6h15</t>
  </si>
  <si>
    <t>Primavera</t>
  </si>
  <si>
    <t>dados a serem coletados, automaticamente, na internet com base na data e na latitude</t>
  </si>
  <si>
    <t>6h20</t>
  </si>
  <si>
    <t>Turbi(cm)</t>
  </si>
  <si>
    <t>Soli(ml)</t>
  </si>
  <si>
    <t xml:space="preserve">dados a serem coletados, automaticamente, na internet </t>
  </si>
  <si>
    <t>com base na data e na latitude</t>
  </si>
  <si>
    <t>Equipamento</t>
  </si>
  <si>
    <t>Soprador</t>
  </si>
  <si>
    <t>Aerador</t>
  </si>
  <si>
    <t>Difusor</t>
  </si>
  <si>
    <t>Comedouro</t>
  </si>
  <si>
    <t>Bomba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</si>
</sst>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#,##0.000"/>
    <numFmt numFmtId="166" formatCode="#,##0.000;(#,##0.000)"/>
  </numFmts>
  <fonts count="3">
    <font>
      <sz val="10.0"/>
      <color rgb="FF000000"/>
      <name val="Arial"/>
      <scheme val="minor"/>
    </font>
    <font>
      <color/>
      <name val="Arial"/>
    </font>
    <font>
      <b/>
      <color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  <xf borderId="0" fillId="2" fontId="1" numFmtId="164" xfId="0" applyFill="1" applyFont="1" applyNumberFormat="1"/>
    <xf borderId="0" fillId="0" fontId="1" numFmtId="164" xfId="0" applyFont="1" applyNumberFormat="1"/>
    <xf borderId="0" fillId="0" fontId="1" numFmtId="0" xfId="0" applyAlignment="1" applyFont="1">
      <alignment horizontal="center"/>
    </xf>
    <xf borderId="0" fillId="2" fontId="1" numFmtId="3" xfId="0" applyFill="1" applyFont="1" applyNumberFormat="1"/>
    <xf borderId="0" fillId="3" fontId="1" numFmtId="0" xfId="0" applyFill="1" applyFont="1"/>
    <xf borderId="0" fillId="4" fontId="1" numFmtId="0" xfId="0" applyFill="1" applyFont="1"/>
    <xf borderId="0" fillId="0" fontId="1" numFmtId="3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4" fontId="2" numFmtId="0" xfId="0" applyFill="1" applyFont="1"/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.86"/>
    <col customWidth="1" min="2" max="11" width="12.57"/>
  </cols>
  <sheetData>
    <row r="1" ht="15.75" customHeight="1">
      <c r="A1" s="1" t="s">
        <v>0</v>
      </c>
      <c r="B1" s="1" t="s">
        <v>1</v>
      </c>
    </row>
    <row r="2" ht="15.75" customHeight="1">
      <c r="A2" s="1">
        <v>1.0</v>
      </c>
      <c r="B2" s="1" t="s">
        <v>2</v>
      </c>
    </row>
    <row r="3" ht="15.75" customHeight="1">
      <c r="A3" s="1">
        <v>2.0</v>
      </c>
      <c r="B3" s="1" t="s">
        <v>3</v>
      </c>
    </row>
    <row r="4" ht="15.75" customHeight="1">
      <c r="A4" s="1">
        <v>3.0</v>
      </c>
      <c r="B4" s="1" t="s">
        <v>4</v>
      </c>
    </row>
    <row r="5" ht="15.75" customHeight="1">
      <c r="A5" s="1">
        <v>4.0</v>
      </c>
    </row>
    <row r="6" ht="15.75" customHeight="1">
      <c r="A6" s="1">
        <v>5.0</v>
      </c>
    </row>
    <row r="7" ht="15.75" customHeight="1">
      <c r="A7" s="1">
        <v>6.0</v>
      </c>
    </row>
    <row r="8" ht="15.75" customHeight="1">
      <c r="A8" s="1">
        <v>7.0</v>
      </c>
    </row>
    <row r="9" ht="15.75" customHeight="1">
      <c r="A9" s="1">
        <v>8.0</v>
      </c>
    </row>
    <row r="10" ht="15.75" customHeight="1">
      <c r="A10" s="1">
        <v>9.0</v>
      </c>
    </row>
    <row r="11" ht="15.75" customHeight="1">
      <c r="A11" s="1">
        <v>10.0</v>
      </c>
    </row>
    <row r="12" ht="15.75" customHeight="1">
      <c r="A12" s="1">
        <v>11.0</v>
      </c>
    </row>
    <row r="13" ht="15.75" customHeight="1">
      <c r="A13" s="1">
        <v>12.0</v>
      </c>
    </row>
    <row r="14" ht="15.75" customHeight="1">
      <c r="A14" s="1">
        <v>13.0</v>
      </c>
    </row>
    <row r="15" ht="15.75" customHeight="1">
      <c r="A15" s="1">
        <v>14.0</v>
      </c>
    </row>
    <row r="16" ht="15.75" customHeight="1">
      <c r="A16" s="1">
        <v>15.0</v>
      </c>
    </row>
    <row r="17" ht="15.75" customHeight="1">
      <c r="A17" s="1">
        <v>16.0</v>
      </c>
    </row>
    <row r="18" ht="15.75" customHeight="1">
      <c r="A18" s="1">
        <v>17.0</v>
      </c>
    </row>
    <row r="19" ht="15.75" customHeight="1">
      <c r="A19" s="1">
        <v>18.0</v>
      </c>
    </row>
    <row r="20" ht="15.75" customHeight="1">
      <c r="A20" s="1">
        <v>19.0</v>
      </c>
    </row>
    <row r="21" ht="15.75" customHeight="1">
      <c r="A21" s="1">
        <v>20.0</v>
      </c>
    </row>
    <row r="22" ht="15.75" customHeight="1">
      <c r="A22" s="1">
        <v>21.0</v>
      </c>
    </row>
    <row r="23" ht="15.75" customHeight="1">
      <c r="A23" s="1">
        <v>22.0</v>
      </c>
    </row>
    <row r="24" ht="15.75" customHeight="1">
      <c r="A24" s="1">
        <v>23.0</v>
      </c>
    </row>
    <row r="25" ht="15.75" customHeight="1">
      <c r="A25" s="1">
        <v>24.0</v>
      </c>
    </row>
    <row r="26" ht="15.75" customHeight="1">
      <c r="A26" s="1">
        <v>25.0</v>
      </c>
    </row>
    <row r="27" ht="15.75" customHeight="1">
      <c r="A27" s="1">
        <v>26.0</v>
      </c>
    </row>
    <row r="28" ht="15.75" customHeight="1">
      <c r="A28" s="1">
        <v>27.0</v>
      </c>
    </row>
    <row r="29" ht="15.75" customHeight="1">
      <c r="A29" s="1">
        <v>28.0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43"/>
    <col customWidth="1" min="2" max="3" width="3.71"/>
    <col customWidth="1" min="4" max="4" width="5.14"/>
    <col customWidth="1" min="5" max="5" width="8.43"/>
    <col customWidth="1" min="6" max="6" width="12.14"/>
    <col customWidth="1" min="7" max="11" width="12.57"/>
  </cols>
  <sheetData>
    <row r="1" ht="15.75" customHeight="1">
      <c r="A1" s="1" t="s">
        <v>2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 ht="15.75" customHeight="1">
      <c r="A2" s="1">
        <v>1.0</v>
      </c>
      <c r="B2" s="1">
        <v>100.0</v>
      </c>
      <c r="C2" s="1" t="str">
        <f t="shared" ref="C2:C5" si="1">B2*D2</f>
        <v>100</v>
      </c>
      <c r="D2" s="1">
        <v>1.0</v>
      </c>
      <c r="E2" s="1" t="s">
        <v>10</v>
      </c>
      <c r="F2" s="1" t="s">
        <v>11</v>
      </c>
    </row>
    <row r="3" ht="15.75" customHeight="1">
      <c r="A3" s="1">
        <v>2.0</v>
      </c>
      <c r="B3" s="1">
        <v>100.0</v>
      </c>
      <c r="C3" s="1" t="str">
        <f t="shared" si="1"/>
        <v>100</v>
      </c>
      <c r="D3" s="1">
        <v>1.0</v>
      </c>
      <c r="E3" s="1" t="s">
        <v>10</v>
      </c>
      <c r="F3" s="1" t="s">
        <v>11</v>
      </c>
    </row>
    <row r="4" ht="15.75" customHeight="1">
      <c r="A4" s="1">
        <v>3.0</v>
      </c>
      <c r="B4" s="1">
        <v>100.0</v>
      </c>
      <c r="C4" s="1" t="str">
        <f t="shared" si="1"/>
        <v>100</v>
      </c>
      <c r="D4" s="1">
        <v>1.0</v>
      </c>
      <c r="E4" s="1" t="s">
        <v>10</v>
      </c>
      <c r="F4" s="1" t="s">
        <v>11</v>
      </c>
    </row>
    <row r="5" ht="15.75" customHeight="1">
      <c r="A5" s="1">
        <v>4.0</v>
      </c>
      <c r="B5" s="1">
        <v>100.0</v>
      </c>
      <c r="C5" s="1" t="str">
        <f t="shared" si="1"/>
        <v>100</v>
      </c>
      <c r="D5" s="1">
        <v>1.0</v>
      </c>
      <c r="E5" s="1" t="s">
        <v>10</v>
      </c>
      <c r="F5" s="1" t="s">
        <v>11</v>
      </c>
    </row>
    <row r="6" ht="15.75" customHeight="1">
      <c r="A6" s="1">
        <v>5.0</v>
      </c>
    </row>
    <row r="7" ht="15.75" customHeight="1">
      <c r="A7" s="1">
        <v>6.0</v>
      </c>
    </row>
    <row r="8" ht="15.75" customHeight="1">
      <c r="A8" s="1">
        <v>7.0</v>
      </c>
    </row>
    <row r="9" ht="15.75" customHeight="1">
      <c r="A9" s="1">
        <v>8.0</v>
      </c>
    </row>
    <row r="10" ht="15.75" customHeight="1">
      <c r="A10" s="1">
        <v>9.0</v>
      </c>
    </row>
    <row r="11" ht="15.75" customHeight="1">
      <c r="A11" s="1">
        <v>10.0</v>
      </c>
    </row>
    <row r="12" ht="15.75" customHeight="1">
      <c r="A12" s="1">
        <v>11.0</v>
      </c>
    </row>
    <row r="13" ht="15.75" customHeight="1">
      <c r="A13" s="1">
        <v>12.0</v>
      </c>
    </row>
    <row r="14" ht="15.75" customHeight="1">
      <c r="A14" s="1">
        <v>13.0</v>
      </c>
    </row>
    <row r="15" ht="15.75" customHeight="1">
      <c r="A15" s="1">
        <v>14.0</v>
      </c>
    </row>
    <row r="16" ht="15.75" customHeight="1">
      <c r="A16" s="1">
        <v>15.0</v>
      </c>
    </row>
    <row r="17" ht="15.75" customHeight="1">
      <c r="A17" s="1">
        <v>16.0</v>
      </c>
    </row>
    <row r="18" ht="15.75" customHeight="1">
      <c r="A18" s="1">
        <v>17.0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.57"/>
    <col customWidth="1" min="2" max="2" width="7.0"/>
    <col customWidth="1" min="3" max="11" width="12.57"/>
  </cols>
  <sheetData>
    <row r="1" ht="15.75" customHeight="1">
      <c r="A1" s="1" t="s">
        <v>0</v>
      </c>
      <c r="B1" s="1" t="s">
        <v>3</v>
      </c>
    </row>
    <row r="2" ht="15.75" customHeight="1">
      <c r="A2" s="1">
        <v>1.0</v>
      </c>
      <c r="B2" s="1" t="s">
        <v>12</v>
      </c>
    </row>
    <row r="3" ht="15.75" customHeight="1">
      <c r="A3" s="1">
        <v>2.0</v>
      </c>
      <c r="B3" s="1" t="s">
        <v>13</v>
      </c>
    </row>
    <row r="4" ht="15.75" customHeight="1">
      <c r="A4" s="1">
        <v>3.0</v>
      </c>
      <c r="B4" s="1" t="s">
        <v>14</v>
      </c>
    </row>
    <row r="5" ht="15.75" customHeight="1">
      <c r="A5" s="1">
        <v>4.0</v>
      </c>
    </row>
    <row r="6" ht="15.75" customHeight="1">
      <c r="A6" s="1">
        <v>5.0</v>
      </c>
    </row>
    <row r="7" ht="15.75" customHeight="1">
      <c r="A7" s="1">
        <v>6.0</v>
      </c>
    </row>
    <row r="8" ht="15.75" customHeight="1">
      <c r="A8" s="1">
        <v>7.0</v>
      </c>
    </row>
    <row r="9" ht="15.75" customHeight="1">
      <c r="A9" s="1">
        <v>8.0</v>
      </c>
    </row>
    <row r="10" ht="15.75" customHeight="1">
      <c r="A10" s="1">
        <v>9.0</v>
      </c>
    </row>
    <row r="11" ht="15.75" customHeight="1">
      <c r="A11" s="1">
        <v>10.0</v>
      </c>
    </row>
    <row r="12" ht="15.75" customHeight="1">
      <c r="A12" s="1">
        <v>11.0</v>
      </c>
    </row>
    <row r="13" ht="15.75" customHeight="1">
      <c r="A13" s="1">
        <v>12.0</v>
      </c>
    </row>
    <row r="14" ht="15.75" customHeight="1">
      <c r="A14" s="1">
        <v>13.0</v>
      </c>
    </row>
    <row r="15" ht="15.75" customHeight="1">
      <c r="A15" s="1">
        <v>14.0</v>
      </c>
    </row>
    <row r="16" ht="15.75" customHeight="1">
      <c r="A16" s="1">
        <v>15.0</v>
      </c>
    </row>
    <row r="17" ht="15.75" customHeight="1">
      <c r="A17" s="1">
        <v>16.0</v>
      </c>
    </row>
    <row r="18" ht="15.75" customHeight="1">
      <c r="A18" s="1">
        <v>17.0</v>
      </c>
    </row>
    <row r="19" ht="15.75" customHeight="1">
      <c r="A19" s="1">
        <v>18.0</v>
      </c>
    </row>
    <row r="20" ht="15.75" customHeight="1">
      <c r="A20" s="1">
        <v>19.0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.57"/>
    <col customWidth="1" min="2" max="2" width="6.43"/>
    <col customWidth="1" min="3" max="3" width="9.43"/>
    <col customWidth="1" min="4" max="4" width="5.14"/>
    <col customWidth="1" min="5" max="5" width="6.86"/>
    <col customWidth="1" min="6" max="6" width="5.43"/>
    <col customWidth="1" min="7" max="7" width="7.71"/>
    <col customWidth="1" min="8" max="8" width="6.0"/>
    <col customWidth="1" min="9" max="11" width="12.57"/>
  </cols>
  <sheetData>
    <row r="1" ht="15.75" customHeight="1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ht="15.75" customHeight="1">
      <c r="A2" s="2">
        <v>1.0</v>
      </c>
      <c r="B2" s="2">
        <v>1.0</v>
      </c>
      <c r="C2" s="3">
        <v>45935.0</v>
      </c>
      <c r="D2" s="1">
        <v>1.0</v>
      </c>
      <c r="E2" s="1">
        <v>1.7</v>
      </c>
      <c r="F2" s="1">
        <v>3000.0</v>
      </c>
      <c r="G2" s="1" t="s">
        <v>22</v>
      </c>
      <c r="H2" s="1" t="s">
        <v>23</v>
      </c>
    </row>
    <row r="3" ht="15.75" customHeight="1">
      <c r="A3" s="1">
        <v>2.0</v>
      </c>
      <c r="B3" s="1">
        <v>2.0</v>
      </c>
      <c r="C3" s="4" t="str">
        <f t="shared" ref="C3:C5" si="1">C2+30</f>
        <v>04/11/2025</v>
      </c>
      <c r="D3" s="1">
        <v>1.0</v>
      </c>
      <c r="E3" s="1">
        <v>1.8</v>
      </c>
      <c r="F3" s="1">
        <v>3000.0</v>
      </c>
      <c r="G3" s="1" t="s">
        <v>22</v>
      </c>
      <c r="H3" s="1" t="s">
        <v>23</v>
      </c>
    </row>
    <row r="4" ht="15.75" customHeight="1">
      <c r="A4" s="1">
        <v>3.0</v>
      </c>
      <c r="B4" s="1">
        <v>3.0</v>
      </c>
      <c r="C4" s="4" t="str">
        <f t="shared" si="1"/>
        <v>04/12/2025</v>
      </c>
      <c r="D4" s="1">
        <v>1.0</v>
      </c>
      <c r="E4" s="1">
        <v>2.1</v>
      </c>
      <c r="F4" s="1">
        <v>3000.0</v>
      </c>
      <c r="G4" s="1" t="s">
        <v>22</v>
      </c>
      <c r="H4" s="1" t="s">
        <v>23</v>
      </c>
    </row>
    <row r="5" ht="15.75" customHeight="1">
      <c r="A5" s="1">
        <v>4.0</v>
      </c>
      <c r="B5" s="1">
        <v>4.0</v>
      </c>
      <c r="C5" s="4" t="str">
        <f t="shared" si="1"/>
        <v>03/01/2026</v>
      </c>
      <c r="D5" s="1">
        <v>1.0</v>
      </c>
      <c r="E5" s="1">
        <v>1.9</v>
      </c>
      <c r="F5" s="1">
        <v>3000.0</v>
      </c>
      <c r="G5" s="1" t="s">
        <v>22</v>
      </c>
      <c r="H5" s="1" t="s">
        <v>23</v>
      </c>
    </row>
    <row r="6" ht="15.75" customHeight="1">
      <c r="A6" s="2">
        <v>5.0</v>
      </c>
      <c r="B6" s="2">
        <v>1.0</v>
      </c>
      <c r="C6" s="3">
        <v>46147.0</v>
      </c>
      <c r="D6" s="1">
        <v>1.0</v>
      </c>
      <c r="E6" s="1">
        <v>2.1</v>
      </c>
      <c r="F6" s="1">
        <v>3500.0</v>
      </c>
      <c r="G6" s="1" t="s">
        <v>22</v>
      </c>
      <c r="H6" s="1" t="s">
        <v>23</v>
      </c>
    </row>
    <row r="7" ht="15.75" customHeight="1">
      <c r="A7" s="1">
        <v>6.0</v>
      </c>
      <c r="B7" s="1">
        <v>2.0</v>
      </c>
      <c r="C7" s="4" t="str">
        <f t="shared" ref="C7:C9" si="2">C6+30</f>
        <v>04/06/2026</v>
      </c>
      <c r="D7" s="1">
        <v>1.0</v>
      </c>
      <c r="E7" s="1">
        <v>2.0</v>
      </c>
      <c r="F7" s="1">
        <v>4000.0</v>
      </c>
      <c r="G7" s="1" t="s">
        <v>22</v>
      </c>
      <c r="H7" s="1" t="s">
        <v>23</v>
      </c>
    </row>
    <row r="8" ht="15.75" customHeight="1">
      <c r="A8" s="1">
        <v>7.0</v>
      </c>
      <c r="B8" s="1">
        <v>3.0</v>
      </c>
      <c r="C8" s="4" t="str">
        <f t="shared" si="2"/>
        <v>04/07/2026</v>
      </c>
      <c r="D8" s="1">
        <v>1.0</v>
      </c>
      <c r="E8" s="1">
        <v>1.9</v>
      </c>
      <c r="F8" s="1">
        <v>3000.0</v>
      </c>
      <c r="G8" s="1" t="s">
        <v>22</v>
      </c>
      <c r="H8" s="1" t="s">
        <v>23</v>
      </c>
    </row>
    <row r="9" ht="15.75" customHeight="1">
      <c r="A9" s="1">
        <v>8.0</v>
      </c>
      <c r="B9" s="1">
        <v>4.0</v>
      </c>
      <c r="C9" s="4" t="str">
        <f t="shared" si="2"/>
        <v>03/08/2026</v>
      </c>
      <c r="D9" s="1">
        <v>1.0</v>
      </c>
      <c r="E9" s="1">
        <v>1.8</v>
      </c>
      <c r="F9" s="1">
        <v>4000.0</v>
      </c>
      <c r="G9" s="1" t="s">
        <v>22</v>
      </c>
      <c r="H9" s="1" t="s">
        <v>23</v>
      </c>
    </row>
    <row r="10" ht="15.75" customHeight="1">
      <c r="A10" s="1">
        <v>9.0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6.43"/>
    <col customWidth="1" min="3" max="3" width="3.43"/>
    <col customWidth="1" min="4" max="4" width="5.14"/>
    <col customWidth="1" min="5" max="6" width="7.29"/>
    <col customWidth="1" min="7" max="7" width="6.86"/>
    <col customWidth="1" min="8" max="8" width="7.57"/>
    <col customWidth="1" min="9" max="9" width="10.14"/>
    <col customWidth="1" min="10" max="10" width="13.29"/>
    <col customWidth="1" min="11" max="11" width="12.86"/>
    <col customWidth="1" min="12" max="12" width="34.57"/>
    <col customWidth="1" min="13" max="30" width="12.57"/>
  </cols>
  <sheetData>
    <row r="1" ht="15.75" customHeight="1">
      <c r="A1" s="5" t="s">
        <v>16</v>
      </c>
      <c r="B1" s="5" t="s">
        <v>15</v>
      </c>
      <c r="C1" s="5" t="s">
        <v>0</v>
      </c>
      <c r="D1" s="5" t="s">
        <v>17</v>
      </c>
      <c r="E1" s="5" t="s">
        <v>24</v>
      </c>
      <c r="F1" s="5" t="s">
        <v>25</v>
      </c>
      <c r="G1" s="5" t="s">
        <v>18</v>
      </c>
      <c r="H1" s="5" t="s">
        <v>26</v>
      </c>
      <c r="I1" s="5" t="s">
        <v>27</v>
      </c>
      <c r="J1" s="5" t="s">
        <v>28</v>
      </c>
      <c r="K1" s="5" t="s">
        <v>29</v>
      </c>
      <c r="L1" s="5" t="s">
        <v>30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ht="15.75" customHeight="1">
      <c r="A2" s="4">
        <v>45966.0</v>
      </c>
      <c r="B2" s="1">
        <v>1.0</v>
      </c>
      <c r="C2" s="2">
        <v>1.0</v>
      </c>
      <c r="D2" s="2">
        <v>1.0</v>
      </c>
      <c r="E2" s="6" t="str">
        <f>A2-Povoamento!C2</f>
        <v>31</v>
      </c>
      <c r="F2" s="7">
        <v>100.0</v>
      </c>
      <c r="G2" s="7">
        <v>1000.0</v>
      </c>
      <c r="H2" s="2">
        <v>10.0</v>
      </c>
      <c r="I2" s="2">
        <v>11.0</v>
      </c>
      <c r="J2" s="2" t="s">
        <v>31</v>
      </c>
      <c r="K2" s="2" t="s">
        <v>32</v>
      </c>
      <c r="L2" s="7"/>
    </row>
    <row r="3" ht="15.75" customHeight="1">
      <c r="J3" s="1" t="s">
        <v>33</v>
      </c>
      <c r="K3" s="1" t="s">
        <v>34</v>
      </c>
    </row>
    <row r="4" ht="15.75" customHeight="1">
      <c r="J4" s="1" t="s">
        <v>35</v>
      </c>
      <c r="K4" s="1" t="s">
        <v>36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ErrorMessage="1" sqref="J2:J4">
      <formula1>"Bom,Excelente,Ruim"</formula1>
    </dataValidation>
    <dataValidation type="list" allowBlank="1" showErrorMessage="1" sqref="K2:K4">
      <formula1>"Biometria,Outro,Rotina"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1" width="12.57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>
      <c r="D6" s="1" t="s">
        <v>37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1" width="12.57"/>
  </cols>
  <sheetData>
    <row r="1" ht="15.75" customHeight="1"/>
    <row r="2" ht="15.75" customHeight="1"/>
    <row r="3" ht="15.75" customHeight="1">
      <c r="B3" s="1" t="s">
        <v>38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6.43"/>
    <col customWidth="1" min="3" max="3" width="2.43"/>
    <col customWidth="1" min="4" max="4" width="5.14"/>
    <col customWidth="1" min="5" max="5" width="7.57"/>
    <col customWidth="1" min="6" max="6" width="5.43"/>
    <col customWidth="1" min="7" max="7" width="8.43"/>
    <col customWidth="1" min="8" max="8" width="5.43"/>
    <col customWidth="1" min="9" max="11" width="12.57"/>
  </cols>
  <sheetData>
    <row r="1" ht="15.75" customHeight="1">
      <c r="A1" s="1" t="s">
        <v>16</v>
      </c>
      <c r="B1" s="1" t="s">
        <v>15</v>
      </c>
      <c r="C1" s="8" t="s">
        <v>39</v>
      </c>
      <c r="D1" s="1" t="s">
        <v>24</v>
      </c>
      <c r="E1" s="1" t="s">
        <v>40</v>
      </c>
      <c r="F1" s="1" t="s">
        <v>19</v>
      </c>
      <c r="G1" s="1" t="s">
        <v>41</v>
      </c>
      <c r="H1" s="1" t="s">
        <v>42</v>
      </c>
    </row>
    <row r="2" ht="15.75" customHeight="1">
      <c r="A2" s="4">
        <v>46144.0</v>
      </c>
      <c r="B2" s="1">
        <v>1.0</v>
      </c>
      <c r="C2" s="1">
        <v>1.0</v>
      </c>
      <c r="D2" s="9" t="str">
        <f>A2-Povoamento!C2</f>
        <v>209</v>
      </c>
      <c r="E2" s="10">
        <v>98.45</v>
      </c>
      <c r="F2" s="1">
        <v>100.0</v>
      </c>
      <c r="G2" s="11" t="str">
        <f>E2/F2</f>
        <v>0.985</v>
      </c>
      <c r="H2" s="1">
        <v>1.0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.43"/>
    <col customWidth="1" min="2" max="2" width="13.0"/>
    <col customWidth="1" min="3" max="3" width="27.86"/>
    <col customWidth="1" min="4" max="11" width="12.57"/>
  </cols>
  <sheetData>
    <row r="1" ht="15.75" customHeight="1">
      <c r="A1" s="1" t="s">
        <v>39</v>
      </c>
      <c r="B1" s="1" t="s">
        <v>43</v>
      </c>
      <c r="C1" s="1" t="s">
        <v>44</v>
      </c>
      <c r="D1" s="1" t="s">
        <v>45</v>
      </c>
    </row>
    <row r="2" ht="15.75" customHeight="1">
      <c r="A2" s="1">
        <v>1.0</v>
      </c>
      <c r="B2" s="1" t="s">
        <v>46</v>
      </c>
      <c r="C2" s="1" t="s">
        <v>47</v>
      </c>
    </row>
    <row r="3" ht="15.75" customHeight="1">
      <c r="A3" s="1">
        <v>2.0</v>
      </c>
      <c r="B3" s="1" t="s">
        <v>48</v>
      </c>
      <c r="C3" s="1" t="s">
        <v>49</v>
      </c>
    </row>
    <row r="4" ht="15.75" customHeight="1">
      <c r="A4" s="1">
        <v>3.0</v>
      </c>
      <c r="B4" s="1" t="s">
        <v>50</v>
      </c>
      <c r="C4" s="1" t="s">
        <v>51</v>
      </c>
    </row>
    <row r="5" ht="15.75" customHeight="1">
      <c r="A5" s="1">
        <v>4.0</v>
      </c>
      <c r="B5" s="1" t="s">
        <v>52</v>
      </c>
      <c r="C5" s="1" t="s">
        <v>53</v>
      </c>
    </row>
    <row r="6" ht="15.75" customHeight="1">
      <c r="A6" s="1">
        <v>5.0</v>
      </c>
      <c r="B6" s="1" t="s">
        <v>54</v>
      </c>
      <c r="C6" s="1" t="s">
        <v>55</v>
      </c>
    </row>
    <row r="7" ht="15.75" customHeight="1">
      <c r="A7" s="1">
        <v>6.0</v>
      </c>
      <c r="B7" s="1" t="s">
        <v>56</v>
      </c>
      <c r="C7" s="1" t="s">
        <v>57</v>
      </c>
    </row>
    <row r="8" ht="15.75" customHeight="1">
      <c r="A8" s="1">
        <v>7.0</v>
      </c>
      <c r="B8" s="1" t="s">
        <v>58</v>
      </c>
      <c r="C8" s="1" t="s">
        <v>59</v>
      </c>
    </row>
    <row r="9" ht="15.75" customHeight="1">
      <c r="A9" s="1">
        <v>8.0</v>
      </c>
      <c r="B9" s="1" t="s">
        <v>60</v>
      </c>
      <c r="C9" s="1" t="s">
        <v>61</v>
      </c>
    </row>
    <row r="10" ht="15.75" customHeight="1">
      <c r="A10" s="1">
        <v>9.0</v>
      </c>
      <c r="B10" s="1" t="s">
        <v>62</v>
      </c>
      <c r="C10" s="1" t="s">
        <v>63</v>
      </c>
    </row>
    <row r="11" ht="15.75" customHeight="1">
      <c r="A11" s="1">
        <v>10.0</v>
      </c>
      <c r="B11" s="1" t="s">
        <v>64</v>
      </c>
      <c r="C11" s="1" t="s">
        <v>65</v>
      </c>
      <c r="D11" s="1" t="s">
        <v>66</v>
      </c>
    </row>
    <row r="12" ht="15.75" customHeight="1">
      <c r="A12" s="1">
        <v>11.0</v>
      </c>
      <c r="B12" s="1" t="s">
        <v>67</v>
      </c>
      <c r="C12" s="1" t="s">
        <v>68</v>
      </c>
    </row>
    <row r="13" ht="15.75" customHeight="1">
      <c r="A13" s="1">
        <v>12.0</v>
      </c>
      <c r="B13" s="1" t="s">
        <v>69</v>
      </c>
      <c r="C13" s="1" t="s">
        <v>70</v>
      </c>
      <c r="D13" s="1" t="s">
        <v>66</v>
      </c>
    </row>
    <row r="14" ht="15.75" customHeight="1">
      <c r="A14" s="1">
        <v>13.0</v>
      </c>
      <c r="B14" s="1" t="s">
        <v>71</v>
      </c>
      <c r="C14" s="1" t="s">
        <v>72</v>
      </c>
      <c r="D14" s="1" t="s">
        <v>66</v>
      </c>
    </row>
    <row r="15" ht="15.75" customHeight="1">
      <c r="A15" s="1">
        <v>14.0</v>
      </c>
      <c r="B15" s="1" t="s">
        <v>73</v>
      </c>
      <c r="C15" s="1" t="s">
        <v>74</v>
      </c>
      <c r="D15" s="1" t="s">
        <v>66</v>
      </c>
    </row>
    <row r="16" ht="15.75" customHeight="1">
      <c r="A16" s="1">
        <v>15.0</v>
      </c>
      <c r="B16" s="1" t="s">
        <v>75</v>
      </c>
      <c r="C16" s="1" t="s">
        <v>76</v>
      </c>
      <c r="D16" s="1" t="s">
        <v>77</v>
      </c>
    </row>
    <row r="17" ht="15.75" customHeight="1">
      <c r="A17" s="1">
        <v>16.0</v>
      </c>
      <c r="B17" s="1" t="s">
        <v>78</v>
      </c>
      <c r="C17" s="1" t="s">
        <v>79</v>
      </c>
      <c r="D17" s="1" t="s">
        <v>66</v>
      </c>
    </row>
    <row r="18" ht="15.75" customHeight="1">
      <c r="A18" s="1">
        <v>17.0</v>
      </c>
      <c r="B18" s="1" t="s">
        <v>80</v>
      </c>
      <c r="C18" s="1" t="s">
        <v>81</v>
      </c>
      <c r="D18" s="1" t="s">
        <v>66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.29"/>
    <col customWidth="1" min="2" max="11" width="12.57"/>
  </cols>
  <sheetData>
    <row r="1" ht="15.75" customHeight="1">
      <c r="A1" s="1" t="s">
        <v>0</v>
      </c>
      <c r="B1" s="1" t="s">
        <v>82</v>
      </c>
    </row>
    <row r="2" ht="15.75" customHeight="1">
      <c r="A2" s="1">
        <v>1.0</v>
      </c>
      <c r="B2" s="1" t="s">
        <v>83</v>
      </c>
    </row>
    <row r="3" ht="15.75" customHeight="1">
      <c r="A3" s="1">
        <v>2.0</v>
      </c>
      <c r="B3" s="1" t="s">
        <v>84</v>
      </c>
    </row>
    <row r="4" ht="15.75" customHeight="1">
      <c r="A4" s="1">
        <v>3.0</v>
      </c>
      <c r="B4" s="1" t="s">
        <v>85</v>
      </c>
    </row>
    <row r="5" ht="15.75" customHeight="1">
      <c r="A5" s="1">
        <v>4.0</v>
      </c>
      <c r="B5" s="1" t="s">
        <v>86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.29"/>
    <col customWidth="1" min="2" max="2" width="18.43"/>
    <col customWidth="1" min="3" max="4" width="14.0"/>
    <col customWidth="1" min="5" max="11" width="12.57"/>
  </cols>
  <sheetData>
    <row r="1" ht="15.75" customHeight="1">
      <c r="A1" s="1" t="s">
        <v>0</v>
      </c>
      <c r="B1" s="1" t="s">
        <v>87</v>
      </c>
      <c r="C1" s="1" t="s">
        <v>88</v>
      </c>
      <c r="D1" s="1" t="s">
        <v>89</v>
      </c>
      <c r="E1" s="1" t="s">
        <v>90</v>
      </c>
    </row>
    <row r="2" ht="15.75" customHeight="1">
      <c r="A2" s="1">
        <v>1.0</v>
      </c>
      <c r="B2" s="1" t="s">
        <v>91</v>
      </c>
      <c r="C2" s="1" t="s">
        <v>92</v>
      </c>
      <c r="D2" s="1">
        <v>6.199999994E10</v>
      </c>
    </row>
    <row r="3" ht="15.75" customHeight="1">
      <c r="A3" s="1">
        <v>2.0</v>
      </c>
      <c r="B3" s="1" t="s">
        <v>93</v>
      </c>
      <c r="C3" s="1" t="s">
        <v>94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ErrorMessage="1" sqref="C2:C3">
      <formula1>"Clente,Fornecedor"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6.43"/>
    <col customWidth="1" min="3" max="3" width="5.57"/>
    <col customWidth="1" min="4" max="4" width="3.57"/>
    <col customWidth="1" min="5" max="5" width="5.43"/>
    <col customWidth="1" min="6" max="6" width="8.43"/>
    <col customWidth="1" min="7" max="7" width="4.43"/>
    <col customWidth="1" min="8" max="8" width="8.14"/>
    <col customWidth="1" min="9" max="9" width="7.86"/>
    <col customWidth="1" min="10" max="10" width="12.86"/>
    <col customWidth="1" min="11" max="11" width="12.57"/>
  </cols>
  <sheetData>
    <row r="1" ht="15.75" customHeight="1">
      <c r="A1" s="1" t="s">
        <v>95</v>
      </c>
      <c r="B1" s="1" t="s">
        <v>2</v>
      </c>
      <c r="C1" s="1" t="s">
        <v>82</v>
      </c>
      <c r="D1" s="1" t="s">
        <v>0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100</v>
      </c>
      <c r="J1" s="1" t="s">
        <v>101</v>
      </c>
    </row>
    <row r="2" ht="15.75" customHeight="1">
      <c r="A2" s="4">
        <v>46297.0</v>
      </c>
      <c r="B2" s="1">
        <v>1.0</v>
      </c>
      <c r="C2" s="1">
        <v>3.0</v>
      </c>
      <c r="D2" s="1">
        <v>1.0</v>
      </c>
      <c r="E2" s="1">
        <v>4.0</v>
      </c>
      <c r="F2" s="1">
        <v>5.0</v>
      </c>
      <c r="G2" s="1">
        <v>25.0</v>
      </c>
      <c r="H2" s="1">
        <v>25.0</v>
      </c>
      <c r="I2" s="1" t="str">
        <f t="shared" ref="I2:I4" si="1">8000-H2</f>
        <v>7975</v>
      </c>
      <c r="J2" s="1" t="s">
        <v>102</v>
      </c>
    </row>
    <row r="3" ht="15.75" customHeight="1">
      <c r="A3" s="4">
        <v>46298.0</v>
      </c>
      <c r="B3" s="1">
        <v>1.0</v>
      </c>
      <c r="C3" s="1">
        <v>3.0</v>
      </c>
      <c r="D3" s="1">
        <v>1.0</v>
      </c>
      <c r="E3" s="1">
        <v>4.0</v>
      </c>
      <c r="F3" s="1">
        <v>5.0</v>
      </c>
      <c r="G3" s="1">
        <v>25.0</v>
      </c>
      <c r="H3" s="1">
        <v>50.0</v>
      </c>
      <c r="I3" s="1" t="str">
        <f t="shared" si="1"/>
        <v>7950</v>
      </c>
      <c r="J3" s="1" t="s">
        <v>103</v>
      </c>
    </row>
    <row r="4" ht="15.75" customHeight="1">
      <c r="A4" s="4">
        <v>46299.0</v>
      </c>
      <c r="B4" s="1">
        <v>1.0</v>
      </c>
      <c r="C4" s="1">
        <v>3.0</v>
      </c>
      <c r="D4" s="1">
        <v>1.0</v>
      </c>
      <c r="E4" s="1">
        <v>4.0</v>
      </c>
      <c r="F4" s="1">
        <v>5.0</v>
      </c>
      <c r="G4" s="1">
        <v>25.0</v>
      </c>
      <c r="H4" s="1">
        <v>125.0</v>
      </c>
      <c r="I4" s="1" t="str">
        <f t="shared" si="1"/>
        <v>7875</v>
      </c>
      <c r="J4" s="1" t="s">
        <v>104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ErrorMessage="1" sqref="J2:J4">
      <formula1>"Amarelo,Verde,Vermelho"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.29"/>
    <col customWidth="1" min="2" max="2" width="9.43"/>
    <col customWidth="1" min="3" max="3" width="16.43"/>
    <col customWidth="1" min="4" max="4" width="5.57"/>
    <col customWidth="1" min="5" max="5" width="6.43"/>
    <col customWidth="1" min="6" max="6" width="4.71"/>
    <col customWidth="1" min="7" max="8" width="4.43"/>
    <col customWidth="1" min="9" max="9" width="4.71"/>
    <col customWidth="1" min="10" max="10" width="5.43"/>
    <col customWidth="1" min="11" max="11" width="7.14"/>
    <col customWidth="1" min="12" max="27" width="12.57"/>
  </cols>
  <sheetData>
    <row r="1" ht="15.75" customHeight="1">
      <c r="A1" s="5" t="s">
        <v>0</v>
      </c>
      <c r="B1" s="5" t="s">
        <v>16</v>
      </c>
      <c r="C1" s="5" t="s">
        <v>88</v>
      </c>
      <c r="D1" s="5" t="s">
        <v>82</v>
      </c>
      <c r="E1" s="5" t="s">
        <v>105</v>
      </c>
      <c r="F1" s="5" t="s">
        <v>106</v>
      </c>
      <c r="G1" s="5" t="s">
        <v>107</v>
      </c>
      <c r="H1" s="5" t="s">
        <v>88</v>
      </c>
      <c r="I1" s="5" t="s">
        <v>108</v>
      </c>
      <c r="J1" s="5" t="s">
        <v>109</v>
      </c>
      <c r="K1" s="5" t="s">
        <v>45</v>
      </c>
      <c r="L1" s="5" t="s">
        <v>99</v>
      </c>
      <c r="M1" s="5" t="s">
        <v>110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5.75" customHeight="1">
      <c r="A2" s="1">
        <v>1.0</v>
      </c>
      <c r="B2" s="4">
        <v>46096.0</v>
      </c>
      <c r="C2" s="1" t="s">
        <v>111</v>
      </c>
      <c r="D2" s="1">
        <v>4.0</v>
      </c>
      <c r="E2" s="1" t="s">
        <v>112</v>
      </c>
      <c r="F2" s="1">
        <v>8.0</v>
      </c>
      <c r="G2" s="1">
        <v>32.0</v>
      </c>
      <c r="H2" s="1" t="s">
        <v>113</v>
      </c>
      <c r="I2" s="1">
        <v>25.0</v>
      </c>
      <c r="J2" s="1">
        <v>100.0</v>
      </c>
      <c r="K2" s="1">
        <v>80000.0</v>
      </c>
    </row>
    <row r="3" ht="15.75" customHeight="1">
      <c r="A3" s="1">
        <v>2.0</v>
      </c>
      <c r="C3" s="1" t="s">
        <v>114</v>
      </c>
      <c r="E3" s="1" t="s">
        <v>115</v>
      </c>
      <c r="F3" s="1">
        <v>500.0</v>
      </c>
      <c r="G3" s="1"/>
      <c r="H3" s="1" t="s">
        <v>113</v>
      </c>
      <c r="I3" s="1">
        <v>2.0</v>
      </c>
      <c r="J3" s="1">
        <v>1.0</v>
      </c>
      <c r="K3" s="1">
        <v>500.0</v>
      </c>
    </row>
    <row r="4" ht="15.75" customHeight="1">
      <c r="A4" s="1">
        <v>3.0</v>
      </c>
      <c r="C4" s="1" t="s">
        <v>116</v>
      </c>
      <c r="E4" s="1" t="s">
        <v>115</v>
      </c>
      <c r="F4" s="1">
        <v>500.0</v>
      </c>
      <c r="G4" s="1"/>
      <c r="H4" s="1" t="s">
        <v>113</v>
      </c>
      <c r="I4" s="1">
        <v>1.0</v>
      </c>
      <c r="J4" s="1">
        <v>1.0</v>
      </c>
      <c r="K4" s="1">
        <v>300.0</v>
      </c>
    </row>
    <row r="5" ht="15.75" customHeight="1">
      <c r="A5" s="1">
        <v>4.0</v>
      </c>
      <c r="C5" s="1" t="s">
        <v>117</v>
      </c>
      <c r="E5" s="1" t="s">
        <v>115</v>
      </c>
      <c r="F5" s="1">
        <v>1000.0</v>
      </c>
      <c r="G5" s="1"/>
      <c r="H5" s="1" t="s">
        <v>113</v>
      </c>
      <c r="I5" s="1">
        <v>5.0</v>
      </c>
      <c r="J5" s="1">
        <v>1.0</v>
      </c>
      <c r="K5" s="1">
        <v>100.0</v>
      </c>
    </row>
    <row r="6" ht="15.75" customHeight="1">
      <c r="A6" s="1">
        <v>5.0</v>
      </c>
    </row>
    <row r="7" ht="15.75" customHeight="1">
      <c r="A7" s="1">
        <v>6.0</v>
      </c>
    </row>
    <row r="8" ht="15.75" customHeight="1">
      <c r="A8" s="1">
        <v>7.0</v>
      </c>
    </row>
    <row r="9" ht="15.75" customHeight="1">
      <c r="A9" s="1">
        <v>8.0</v>
      </c>
    </row>
    <row r="10" ht="15.75" customHeight="1">
      <c r="A10" s="1">
        <v>9.0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ErrorMessage="1" sqref="C2:C5">
      <formula1>"Bicarbonato,BioRemediador,Probiotico,Ração"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4.57"/>
    <col customWidth="1" min="3" max="3" width="2.29"/>
    <col customWidth="1" min="4" max="4" width="4.71"/>
    <col customWidth="1" min="5" max="5" width="6.86"/>
    <col customWidth="1" min="6" max="6" width="8.0"/>
    <col customWidth="1" min="7" max="7" width="5.43"/>
    <col customWidth="1" min="8" max="8" width="7.43"/>
    <col customWidth="1" min="9" max="9" width="8.57"/>
    <col customWidth="1" min="10" max="10" width="6.14"/>
    <col customWidth="1" min="11" max="11" width="12.57"/>
  </cols>
  <sheetData>
    <row r="1" ht="15.75" customHeight="1">
      <c r="A1" s="1" t="s">
        <v>95</v>
      </c>
      <c r="B1" s="1" t="s">
        <v>118</v>
      </c>
      <c r="C1" s="1" t="s">
        <v>0</v>
      </c>
      <c r="D1" s="1" t="s">
        <v>45</v>
      </c>
      <c r="E1" s="7" t="s">
        <v>119</v>
      </c>
      <c r="F1" s="12" t="s">
        <v>120</v>
      </c>
      <c r="G1" s="12" t="s">
        <v>71</v>
      </c>
      <c r="H1" s="12" t="s">
        <v>121</v>
      </c>
      <c r="I1" s="12" t="s">
        <v>122</v>
      </c>
      <c r="J1" s="12" t="s">
        <v>80</v>
      </c>
    </row>
    <row r="2" ht="15.75" customHeight="1">
      <c r="A2" s="4">
        <v>46297.0</v>
      </c>
      <c r="B2" s="1" t="s">
        <v>123</v>
      </c>
      <c r="C2" s="1">
        <v>1.0</v>
      </c>
      <c r="D2" s="1">
        <v>7.2</v>
      </c>
      <c r="E2" s="1" t="s">
        <v>77</v>
      </c>
      <c r="F2" s="1">
        <v>61.0</v>
      </c>
      <c r="G2" s="1">
        <v>21.0</v>
      </c>
      <c r="H2" s="13">
        <v>1012.9</v>
      </c>
      <c r="I2" s="1" t="s">
        <v>124</v>
      </c>
      <c r="J2" s="1">
        <v>0.0</v>
      </c>
      <c r="K2" s="1" t="s">
        <v>125</v>
      </c>
    </row>
    <row r="3" ht="15.75" customHeight="1">
      <c r="A3" s="4">
        <v>46297.0</v>
      </c>
      <c r="B3" s="1" t="s">
        <v>126</v>
      </c>
      <c r="C3" s="1">
        <v>2.0</v>
      </c>
      <c r="D3" s="1">
        <v>110.0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4.71"/>
    <col customWidth="1" min="3" max="3" width="6.86"/>
    <col customWidth="1" min="4" max="4" width="3.43"/>
    <col customWidth="1" min="5" max="5" width="3.71"/>
    <col customWidth="1" min="6" max="6" width="3.43"/>
    <col customWidth="1" min="7" max="9" width="4.43"/>
    <col customWidth="1" min="10" max="10" width="3.43"/>
    <col customWidth="1" min="11" max="11" width="8.14"/>
    <col customWidth="1" min="12" max="12" width="6.57"/>
    <col customWidth="1" min="13" max="13" width="6.86"/>
    <col customWidth="1" min="14" max="14" width="8.0"/>
    <col customWidth="1" min="15" max="15" width="5.43"/>
    <col customWidth="1" min="16" max="16" width="7.43"/>
    <col customWidth="1" min="17" max="17" width="8.57"/>
    <col customWidth="1" min="18" max="18" width="6.14"/>
    <col customWidth="1" min="19" max="19" width="6.71"/>
    <col customWidth="1" min="20" max="20" width="12.57"/>
  </cols>
  <sheetData>
    <row r="1" ht="15.75" customHeight="1">
      <c r="A1" s="1" t="s">
        <v>95</v>
      </c>
      <c r="B1" s="1" t="s">
        <v>118</v>
      </c>
      <c r="C1" s="1" t="s">
        <v>64</v>
      </c>
      <c r="D1" s="1" t="s">
        <v>46</v>
      </c>
      <c r="E1" s="1" t="s">
        <v>48</v>
      </c>
      <c r="F1" s="1" t="s">
        <v>50</v>
      </c>
      <c r="G1" s="1" t="s">
        <v>52</v>
      </c>
      <c r="H1" s="1" t="s">
        <v>54</v>
      </c>
      <c r="I1" s="1" t="s">
        <v>56</v>
      </c>
      <c r="J1" s="1" t="s">
        <v>58</v>
      </c>
      <c r="K1" s="1" t="s">
        <v>127</v>
      </c>
      <c r="L1" s="1" t="s">
        <v>128</v>
      </c>
      <c r="M1" s="7" t="s">
        <v>119</v>
      </c>
      <c r="N1" s="12" t="s">
        <v>120</v>
      </c>
      <c r="O1" s="12" t="s">
        <v>71</v>
      </c>
      <c r="P1" s="12" t="s">
        <v>121</v>
      </c>
      <c r="Q1" s="12" t="s">
        <v>122</v>
      </c>
      <c r="R1" s="12" t="s">
        <v>80</v>
      </c>
      <c r="S1" s="12" t="s">
        <v>67</v>
      </c>
    </row>
    <row r="2" ht="15.75" customHeight="1">
      <c r="A2" s="4">
        <v>46297.0</v>
      </c>
      <c r="B2" s="1" t="s">
        <v>123</v>
      </c>
      <c r="C2" s="1">
        <v>25.0</v>
      </c>
      <c r="D2" s="1">
        <v>7.2</v>
      </c>
      <c r="E2" s="1">
        <v>120.0</v>
      </c>
      <c r="F2" s="1">
        <v>5.0</v>
      </c>
      <c r="G2" s="1">
        <v>2.0</v>
      </c>
      <c r="H2" s="1">
        <v>1.0</v>
      </c>
      <c r="I2" s="1">
        <v>2.0</v>
      </c>
      <c r="J2" s="1">
        <v>7.5</v>
      </c>
      <c r="K2" s="1">
        <v>20.0</v>
      </c>
      <c r="L2" s="1">
        <v>5.0</v>
      </c>
      <c r="M2" s="1" t="s">
        <v>77</v>
      </c>
      <c r="N2" s="1">
        <v>61.0</v>
      </c>
      <c r="O2" s="1">
        <v>21.0</v>
      </c>
      <c r="P2" s="13">
        <v>1012.9</v>
      </c>
      <c r="Q2" s="1" t="s">
        <v>124</v>
      </c>
      <c r="R2" s="1">
        <v>0.0</v>
      </c>
      <c r="S2" s="1">
        <v>27.0</v>
      </c>
      <c r="T2" s="1" t="s">
        <v>129</v>
      </c>
    </row>
    <row r="3" ht="15.75" customHeight="1">
      <c r="A3" s="4"/>
      <c r="S3" s="1"/>
      <c r="T3" s="1" t="s">
        <v>130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.86"/>
    <col customWidth="1" min="2" max="2" width="10.86"/>
    <col customWidth="1" min="3" max="11" width="12.57"/>
  </cols>
  <sheetData>
    <row r="1" ht="15.75" customHeight="1">
      <c r="A1" s="1" t="s">
        <v>39</v>
      </c>
      <c r="B1" s="1" t="s">
        <v>131</v>
      </c>
    </row>
    <row r="2" ht="15.75" customHeight="1">
      <c r="A2" s="1">
        <v>1.0</v>
      </c>
      <c r="B2" s="1" t="s">
        <v>132</v>
      </c>
    </row>
    <row r="3" ht="15.75" customHeight="1">
      <c r="A3" s="1">
        <v>2.0</v>
      </c>
      <c r="B3" s="1" t="s">
        <v>133</v>
      </c>
    </row>
    <row r="4" ht="15.75" customHeight="1">
      <c r="A4" s="1">
        <v>3.0</v>
      </c>
      <c r="B4" s="1" t="s">
        <v>134</v>
      </c>
    </row>
    <row r="5" ht="15.75" customHeight="1">
      <c r="A5" s="1">
        <v>4.0</v>
      </c>
      <c r="B5" s="1" t="s">
        <v>135</v>
      </c>
    </row>
    <row r="6" ht="15.75" customHeight="1">
      <c r="A6" s="1">
        <v>5.0</v>
      </c>
      <c r="B6" s="1" t="s">
        <v>136</v>
      </c>
    </row>
    <row r="7" ht="15.75" customHeight="1">
      <c r="A7" s="1">
        <v>6.0</v>
      </c>
    </row>
    <row r="8" ht="15.75" customHeight="1">
      <c r="A8" s="1">
        <v>7.0</v>
      </c>
    </row>
    <row r="9" ht="15.75" customHeight="1">
      <c r="A9" s="1">
        <v>8.0</v>
      </c>
    </row>
    <row r="10" ht="15.75" customHeight="1">
      <c r="A10" s="1">
        <v>9.0</v>
      </c>
    </row>
    <row r="11" ht="15.75" customHeight="1">
      <c r="A11" s="1">
        <v>10.0</v>
      </c>
    </row>
    <row r="12" ht="15.75" customHeight="1">
      <c r="A12" s="1">
        <v>11.0</v>
      </c>
    </row>
    <row r="13" ht="15.75" customHeight="1">
      <c r="A13" s="1">
        <v>12.0</v>
      </c>
    </row>
    <row r="14" ht="15.75" customHeight="1">
      <c r="A14" s="1">
        <v>13.0</v>
      </c>
    </row>
    <row r="15" ht="15.75" customHeight="1">
      <c r="A15" s="1">
        <v>14.0</v>
      </c>
    </row>
    <row r="16" ht="15.75" customHeight="1">
      <c r="A16" s="1">
        <v>15.0</v>
      </c>
    </row>
    <row r="17" ht="15.75" customHeight="1">
      <c r="A17" s="1">
        <v>16.0</v>
      </c>
    </row>
    <row r="18" ht="15.75" customHeight="1">
      <c r="A18" s="1">
        <v>17.0</v>
      </c>
    </row>
    <row r="19" ht="15.75" customHeight="1">
      <c r="A19" s="1">
        <v>18.0</v>
      </c>
    </row>
    <row r="20" ht="15.75" customHeight="1">
      <c r="A20" s="1">
        <v>19.0</v>
      </c>
    </row>
    <row r="21" ht="15.75" customHeight="1">
      <c r="A21" s="1">
        <v>20.0</v>
      </c>
    </row>
    <row r="22" ht="15.75" customHeight="1">
      <c r="A22" s="1">
        <v>21.0</v>
      </c>
    </row>
    <row r="23" ht="15.75" customHeight="1">
      <c r="A23" s="1">
        <v>22.0</v>
      </c>
    </row>
    <row r="24" ht="15.75" customHeight="1">
      <c r="A24" s="1">
        <v>23.0</v>
      </c>
    </row>
    <row r="25" ht="15.75" customHeight="1">
      <c r="A25" s="1">
        <v>24.0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